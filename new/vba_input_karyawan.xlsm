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cuments\database juviana\"/>
    </mc:Choice>
  </mc:AlternateContent>
  <bookViews>
    <workbookView xWindow="0" yWindow="0" windowWidth="20490" windowHeight="7320"/>
  </bookViews>
  <sheets>
    <sheet name="dasboard" sheetId="2" r:id="rId1"/>
    <sheet name="datainput" sheetId="1" r:id="rId2"/>
    <sheet name="gaji_karyawan" sheetId="3" r:id="rId3"/>
    <sheet name="karyawan_kontrak" sheetId="4" r:id="rId4"/>
  </sheets>
  <functionGroups builtInGroupCount="18"/>
  <definedNames>
    <definedName name="_xlnm._FilterDatabase" localSheetId="1" hidden="1">datainput!$A$1:$H$9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/>
  <c r="H4" i="3"/>
  <c r="H5" i="3"/>
  <c r="H6" i="3"/>
  <c r="H7" i="3"/>
  <c r="H8" i="3"/>
  <c r="H2" i="3"/>
</calcChain>
</file>

<file path=xl/sharedStrings.xml><?xml version="1.0" encoding="utf-8"?>
<sst xmlns="http://schemas.openxmlformats.org/spreadsheetml/2006/main" count="128" uniqueCount="59">
  <si>
    <t>Id</t>
  </si>
  <si>
    <t>Nama</t>
  </si>
  <si>
    <t>No ktp</t>
  </si>
  <si>
    <t>No bpjs</t>
  </si>
  <si>
    <t>Alamat</t>
  </si>
  <si>
    <t>Jenis kelamin</t>
  </si>
  <si>
    <t>status</t>
  </si>
  <si>
    <t>No</t>
  </si>
  <si>
    <t>ID00001</t>
  </si>
  <si>
    <t>novri</t>
  </si>
  <si>
    <t>jaha</t>
  </si>
  <si>
    <t>laki-laki</t>
  </si>
  <si>
    <t>Kontrak</t>
  </si>
  <si>
    <t>ID00003</t>
  </si>
  <si>
    <t>majsbjhas</t>
  </si>
  <si>
    <t>perempuan</t>
  </si>
  <si>
    <t>ID00004</t>
  </si>
  <si>
    <t>siska</t>
  </si>
  <si>
    <t>hisaka</t>
  </si>
  <si>
    <t>Tetap</t>
  </si>
  <si>
    <t xml:space="preserve"> </t>
  </si>
  <si>
    <t>ID00006</t>
  </si>
  <si>
    <t>jbdkjsbd</t>
  </si>
  <si>
    <t>ID00008</t>
  </si>
  <si>
    <t>dsfssd</t>
  </si>
  <si>
    <t>ID00007</t>
  </si>
  <si>
    <t>ID000034</t>
  </si>
  <si>
    <t>JHBJHDFS</t>
  </si>
  <si>
    <t>Jabatan</t>
  </si>
  <si>
    <t>gaji pokok</t>
  </si>
  <si>
    <t>tunjangan</t>
  </si>
  <si>
    <t>masa kerja</t>
  </si>
  <si>
    <t>awal masuk</t>
  </si>
  <si>
    <t>reza</t>
  </si>
  <si>
    <t>kp rambutan</t>
  </si>
  <si>
    <t>ID00009</t>
  </si>
  <si>
    <t>ID00010</t>
  </si>
  <si>
    <t>ID00011</t>
  </si>
  <si>
    <t>muhamad</t>
  </si>
  <si>
    <t>kp pulo kapuk</t>
  </si>
  <si>
    <t>rahayu</t>
  </si>
  <si>
    <t>cikarang</t>
  </si>
  <si>
    <t>bekasi</t>
  </si>
  <si>
    <t>sapta</t>
  </si>
  <si>
    <t>dede</t>
  </si>
  <si>
    <t>kp pulokapuk</t>
  </si>
  <si>
    <t>riyan</t>
  </si>
  <si>
    <t>pd gede</t>
  </si>
  <si>
    <t>dika</t>
  </si>
  <si>
    <t>jatiasih</t>
  </si>
  <si>
    <t>gigi</t>
  </si>
  <si>
    <t>hongkong</t>
  </si>
  <si>
    <t>ID00002</t>
  </si>
  <si>
    <t>ID00005</t>
  </si>
  <si>
    <t>ID00012</t>
  </si>
  <si>
    <t>ria</t>
  </si>
  <si>
    <t>ID00013</t>
  </si>
  <si>
    <t>lutpi</t>
  </si>
  <si>
    <t>komsen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</si>
</sst>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Rp&quot;#,##0"/>
  </numFmts>
  <fonts count="2" x14ac:knownFonts="1">
    <font>
      <sz val="11"/>
      <color theme="1"/>
      <name val="Tw Cen MT"/>
      <family val="2"/>
      <scheme val="minor"/>
    </font>
    <font>
      <sz val="12"/>
      <color theme="1"/>
      <name val="Tw Cen MT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Border="1"/>
    <xf numFmtId="164" fontId="0" fillId="0" borderId="0" xfId="0" applyNumberFormat="1"/>
    <xf numFmtId="0" fontId="0" fillId="0" borderId="0" xfId="0" applyNumberFormat="1"/>
    <xf numFmtId="1" fontId="0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atainput!A1"/><Relationship Id="rId2" Type="http://schemas.openxmlformats.org/officeDocument/2006/relationships/hyperlink" Target="#karyawan_kontrak!A1"/><Relationship Id="rId1" Type="http://schemas.openxmlformats.org/officeDocument/2006/relationships/hyperlink" Target="#gaji_karyawan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board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sboard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as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13</xdr:row>
      <xdr:rowOff>76200</xdr:rowOff>
    </xdr:from>
    <xdr:to>
      <xdr:col>5</xdr:col>
      <xdr:colOff>95250</xdr:colOff>
      <xdr:row>15</xdr:row>
      <xdr:rowOff>171450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1562100" y="2428875"/>
          <a:ext cx="1962150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Gaji Karyawan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270782</xdr:colOff>
      <xdr:row>1</xdr:row>
      <xdr:rowOff>125186</xdr:rowOff>
    </xdr:from>
    <xdr:to>
      <xdr:col>18</xdr:col>
      <xdr:colOff>223156</xdr:colOff>
      <xdr:row>5</xdr:row>
      <xdr:rowOff>168729</xdr:rowOff>
    </xdr:to>
    <xdr:sp macro="" textlink="">
      <xdr:nvSpPr>
        <xdr:cNvPr id="5" name="Rectangle 4"/>
        <xdr:cNvSpPr/>
      </xdr:nvSpPr>
      <xdr:spPr>
        <a:xfrm>
          <a:off x="5713639" y="302079"/>
          <a:ext cx="6755946" cy="751114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ysClr val="windowText" lastClr="000000"/>
              </a:solidFill>
              <a:latin typeface="Sitka Small" panose="02000505000000020004" pitchFamily="2" charset="0"/>
              <a:cs typeface="Times New Roman" panose="02020603050405020304" pitchFamily="18" charset="0"/>
            </a:rPr>
            <a:t>DASSBOARD DATA KARYAWAN</a:t>
          </a:r>
          <a:r>
            <a:rPr lang="en-US" sz="2400" b="1" baseline="0">
              <a:solidFill>
                <a:sysClr val="windowText" lastClr="000000"/>
              </a:solidFill>
              <a:latin typeface="Sitka Small" panose="02000505000000020004" pitchFamily="2" charset="0"/>
              <a:cs typeface="Times New Roman" panose="02020603050405020304" pitchFamily="18" charset="0"/>
            </a:rPr>
            <a:t> </a:t>
          </a:r>
          <a:endParaRPr lang="en-US" sz="2400" b="1">
            <a:solidFill>
              <a:sysClr val="windowText" lastClr="000000"/>
            </a:solidFill>
            <a:latin typeface="Sitka Small" panose="02000505000000020004" pitchFamily="2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180975</xdr:colOff>
      <xdr:row>17</xdr:row>
      <xdr:rowOff>47625</xdr:rowOff>
    </xdr:from>
    <xdr:to>
      <xdr:col>5</xdr:col>
      <xdr:colOff>85725</xdr:colOff>
      <xdr:row>19</xdr:row>
      <xdr:rowOff>142875</xdr:rowOff>
    </xdr:to>
    <xdr:sp macro="" textlink="">
      <xdr:nvSpPr>
        <xdr:cNvPr id="7" name="Rounded Rectangle 6">
          <a:hlinkClick xmlns:r="http://schemas.openxmlformats.org/officeDocument/2006/relationships" r:id="rId2"/>
        </xdr:cNvPr>
        <xdr:cNvSpPr/>
      </xdr:nvSpPr>
      <xdr:spPr>
        <a:xfrm>
          <a:off x="1552575" y="3124200"/>
          <a:ext cx="1962150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Karyawan TKK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180975</xdr:colOff>
      <xdr:row>9</xdr:row>
      <xdr:rowOff>142875</xdr:rowOff>
    </xdr:from>
    <xdr:to>
      <xdr:col>5</xdr:col>
      <xdr:colOff>85725</xdr:colOff>
      <xdr:row>12</xdr:row>
      <xdr:rowOff>57150</xdr:rowOff>
    </xdr:to>
    <xdr:sp macro="" textlink="">
      <xdr:nvSpPr>
        <xdr:cNvPr id="8" name="Rounded Rectangle 7">
          <a:hlinkClick xmlns:r="http://schemas.openxmlformats.org/officeDocument/2006/relationships" r:id="rId3"/>
        </xdr:cNvPr>
        <xdr:cNvSpPr/>
      </xdr:nvSpPr>
      <xdr:spPr>
        <a:xfrm>
          <a:off x="1552575" y="1771650"/>
          <a:ext cx="1962150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 karyawan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190501</xdr:colOff>
      <xdr:row>20</xdr:row>
      <xdr:rowOff>149678</xdr:rowOff>
    </xdr:from>
    <xdr:to>
      <xdr:col>5</xdr:col>
      <xdr:colOff>111579</xdr:colOff>
      <xdr:row>23</xdr:row>
      <xdr:rowOff>13606</xdr:rowOff>
    </xdr:to>
    <xdr:sp macro="[0]!SHinput" textlink="">
      <xdr:nvSpPr>
        <xdr:cNvPr id="6" name="SHinput"/>
        <xdr:cNvSpPr/>
      </xdr:nvSpPr>
      <xdr:spPr>
        <a:xfrm>
          <a:off x="1551215" y="3687535"/>
          <a:ext cx="1962150" cy="39460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For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 Karyawan Baru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3</xdr:row>
      <xdr:rowOff>0</xdr:rowOff>
    </xdr:from>
    <xdr:to>
      <xdr:col>11</xdr:col>
      <xdr:colOff>266700</xdr:colOff>
      <xdr:row>4</xdr:row>
      <xdr:rowOff>161925</xdr:rowOff>
    </xdr:to>
    <xdr:sp macro="[0]!SHinput" textlink="">
      <xdr:nvSpPr>
        <xdr:cNvPr id="2" name="SHinput"/>
        <xdr:cNvSpPr/>
      </xdr:nvSpPr>
      <xdr:spPr>
        <a:xfrm>
          <a:off x="9515475" y="733425"/>
          <a:ext cx="1962150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For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 Karyawan Baru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352425</xdr:colOff>
      <xdr:row>1</xdr:row>
      <xdr:rowOff>9525</xdr:rowOff>
    </xdr:from>
    <xdr:to>
      <xdr:col>11</xdr:col>
      <xdr:colOff>257175</xdr:colOff>
      <xdr:row>2</xdr:row>
      <xdr:rowOff>104775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039225" y="381000"/>
          <a:ext cx="1962150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11</xdr:col>
      <xdr:colOff>590550</xdr:colOff>
      <xdr:row>4</xdr:row>
      <xdr:rowOff>95250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6677025" y="600075"/>
          <a:ext cx="1962150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9525</xdr:colOff>
      <xdr:row>5</xdr:row>
      <xdr:rowOff>114300</xdr:rowOff>
    </xdr:from>
    <xdr:to>
      <xdr:col>11</xdr:col>
      <xdr:colOff>600075</xdr:colOff>
      <xdr:row>8</xdr:row>
      <xdr:rowOff>28575</xdr:rowOff>
    </xdr:to>
    <xdr:sp macro="" textlink="">
      <xdr:nvSpPr>
        <xdr:cNvPr id="3" name="Rounded Rectangle 2"/>
        <xdr:cNvSpPr/>
      </xdr:nvSpPr>
      <xdr:spPr>
        <a:xfrm>
          <a:off x="6686550" y="1257300"/>
          <a:ext cx="1962150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1</xdr:row>
      <xdr:rowOff>171450</xdr:rowOff>
    </xdr:from>
    <xdr:to>
      <xdr:col>9</xdr:col>
      <xdr:colOff>133350</xdr:colOff>
      <xdr:row>4</xdr:row>
      <xdr:rowOff>85725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5753100" y="371475"/>
          <a:ext cx="1962150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ircuit">
  <a:themeElements>
    <a:clrScheme name="Circuit">
      <a:dk1>
        <a:sysClr val="windowText" lastClr="000000"/>
      </a:dk1>
      <a:lt1>
        <a:sysClr val="window" lastClr="FFFFFF"/>
      </a:lt1>
      <a:dk2>
        <a:srgbClr val="134770"/>
      </a:dk2>
      <a:lt2>
        <a:srgbClr val="82FFFF"/>
      </a:lt2>
      <a:accent1>
        <a:srgbClr val="9ACD4C"/>
      </a:accent1>
      <a:accent2>
        <a:srgbClr val="FAA93A"/>
      </a:accent2>
      <a:accent3>
        <a:srgbClr val="D35940"/>
      </a:accent3>
      <a:accent4>
        <a:srgbClr val="B258D3"/>
      </a:accent4>
      <a:accent5>
        <a:srgbClr val="63A0CC"/>
      </a:accent5>
      <a:accent6>
        <a:srgbClr val="8AC4A7"/>
      </a:accent6>
      <a:hlink>
        <a:srgbClr val="B8FA56"/>
      </a:hlink>
      <a:folHlink>
        <a:srgbClr val="7AF8CC"/>
      </a:folHlink>
    </a:clrScheme>
    <a:fontScheme name="Circuit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Circuit">
      <a:fillStyleLst>
        <a:solidFill>
          <a:schemeClr val="phClr"/>
        </a:solidFill>
        <a:gradFill rotWithShape="1">
          <a:gsLst>
            <a:gs pos="0">
              <a:schemeClr val="phClr">
                <a:tint val="58000"/>
                <a:satMod val="108000"/>
                <a:lumMod val="110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040000" scaled="0"/>
        </a:gradFill>
        <a:gradFill rotWithShape="1">
          <a:gsLst>
            <a:gs pos="0">
              <a:schemeClr val="phClr">
                <a:tint val="94000"/>
                <a:satMod val="105000"/>
                <a:lumMod val="102000"/>
              </a:schemeClr>
            </a:gs>
            <a:gs pos="100000">
              <a:schemeClr val="phClr">
                <a:shade val="74000"/>
                <a:satMod val="128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94000"/>
                <a:satMod val="148000"/>
                <a:lumMod val="150000"/>
              </a:schemeClr>
            </a:gs>
            <a:gs pos="100000">
              <a:schemeClr val="phClr">
                <a:shade val="92000"/>
                <a:hueMod val="104000"/>
                <a:satMod val="140000"/>
                <a:lumMod val="68000"/>
              </a:schemeClr>
            </a:gs>
          </a:gsLst>
          <a:lin ang="5040000" scaled="0"/>
        </a:gradFill>
        <a:blipFill>
          <a:blip xmlns:r="http://schemas.openxmlformats.org/officeDocument/2006/relationships" r:embed="rId1">
            <a:duotone>
              <a:schemeClr val="phClr">
                <a:shade val="88000"/>
                <a:hueMod val="106000"/>
                <a:satMod val="140000"/>
                <a:lumMod val="54000"/>
              </a:schemeClr>
              <a:schemeClr val="phClr">
                <a:tint val="98000"/>
                <a:hueMod val="90000"/>
                <a:satMod val="150000"/>
                <a:lumMod val="160000"/>
              </a:schemeClr>
            </a:duotone>
          </a:blip>
          <a:stretch/>
        </a:blipFill>
      </a:bgFillStyleLst>
    </a:fmtScheme>
  </a:themeElements>
  <a:objectDefaults>
    <a:spDef>
      <a:spPr/>
      <a:bodyPr vertOverflow="clip" horzOverflow="clip" rtlCol="0" anchor="ctr"/>
      <a:lstStyle>
        <a:defPPr algn="ctr">
          <a:defRPr sz="12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Circuit" id="{0AC2F7E7-15F5-431C-B2A2-456FE929F56C}" vid="{0911B802-464C-4241-8DD9-B60FF88E379F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3"/>
  <sheetViews>
    <sheetView showGridLines="0" tabSelected="1" zoomScale="70" zoomScaleNormal="70" workbookViewId="0">
      <selection activeCell="L12" sqref="L12"/>
    </sheetView>
  </sheetViews>
  <sheetFormatPr defaultRowHeight="14.25" x14ac:dyDescent="0.2"/>
  <sheetData>
    <row r="1" spans="1:8" x14ac:dyDescent="0.2">
      <c r="A1" t="s">
        <v>20</v>
      </c>
    </row>
    <row r="13" spans="1:8" x14ac:dyDescent="0.2">
      <c r="H13" s="4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J9" sqref="J9"/>
    </sheetView>
  </sheetViews>
  <sheetFormatPr defaultRowHeight="14.25" x14ac:dyDescent="0.2"/>
  <cols>
    <col min="1" max="1" width="9" style="1"/>
    <col min="2" max="3" width="15" style="1" customWidth="1"/>
    <col min="4" max="4" width="21.125" style="1" customWidth="1"/>
    <col min="5" max="8" width="15" style="1" customWidth="1"/>
  </cols>
  <sheetData>
    <row r="1" spans="1:8" ht="29.25" customHeight="1" x14ac:dyDescent="0.2">
      <c r="A1" s="2" t="s">
        <v>7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</row>
    <row r="2" spans="1:8" x14ac:dyDescent="0.2">
      <c r="A2" s="3">
        <v>1</v>
      </c>
      <c r="B2" s="3" t="s">
        <v>8</v>
      </c>
      <c r="C2" s="3" t="s">
        <v>9</v>
      </c>
      <c r="D2" s="7">
        <v>23425473256</v>
      </c>
      <c r="E2" s="7">
        <v>3654725423</v>
      </c>
      <c r="F2" s="3" t="s">
        <v>10</v>
      </c>
      <c r="G2" s="3" t="s">
        <v>11</v>
      </c>
      <c r="H2" s="3" t="s">
        <v>12</v>
      </c>
    </row>
    <row r="3" spans="1:8" x14ac:dyDescent="0.2">
      <c r="A3" s="3">
        <v>2</v>
      </c>
      <c r="B3" s="3" t="s">
        <v>52</v>
      </c>
      <c r="C3" s="3" t="s">
        <v>17</v>
      </c>
      <c r="D3" s="7">
        <v>67899789</v>
      </c>
      <c r="E3" s="7">
        <v>678698779</v>
      </c>
      <c r="F3" s="3" t="s">
        <v>18</v>
      </c>
      <c r="G3" s="3" t="s">
        <v>15</v>
      </c>
      <c r="H3" s="3" t="s">
        <v>19</v>
      </c>
    </row>
    <row r="4" spans="1:8" x14ac:dyDescent="0.2">
      <c r="A4" s="3">
        <v>3</v>
      </c>
      <c r="B4" s="3" t="s">
        <v>13</v>
      </c>
      <c r="C4" s="3" t="s">
        <v>33</v>
      </c>
      <c r="D4" s="7">
        <v>9867856</v>
      </c>
      <c r="E4" s="7">
        <v>789548959</v>
      </c>
      <c r="F4" s="3" t="s">
        <v>34</v>
      </c>
      <c r="G4" s="3" t="s">
        <v>11</v>
      </c>
      <c r="H4" s="3" t="s">
        <v>12</v>
      </c>
    </row>
    <row r="5" spans="1:8" x14ac:dyDescent="0.2">
      <c r="A5" s="3">
        <v>4</v>
      </c>
      <c r="B5" s="3" t="s">
        <v>16</v>
      </c>
      <c r="C5" s="3" t="s">
        <v>38</v>
      </c>
      <c r="D5" s="7">
        <v>3455678623987</v>
      </c>
      <c r="E5" s="7">
        <v>3355442768</v>
      </c>
      <c r="F5" s="3" t="s">
        <v>39</v>
      </c>
      <c r="G5" s="3" t="s">
        <v>11</v>
      </c>
      <c r="H5" s="3" t="s">
        <v>12</v>
      </c>
    </row>
    <row r="6" spans="1:8" x14ac:dyDescent="0.2">
      <c r="A6" s="3">
        <v>5</v>
      </c>
      <c r="B6" s="3" t="s">
        <v>53</v>
      </c>
      <c r="C6" s="3" t="s">
        <v>40</v>
      </c>
      <c r="D6" s="7">
        <v>35478928726</v>
      </c>
      <c r="E6" s="7">
        <v>56732556732</v>
      </c>
      <c r="F6" s="3" t="s">
        <v>41</v>
      </c>
      <c r="G6" s="3" t="s">
        <v>15</v>
      </c>
      <c r="H6" s="3" t="s">
        <v>12</v>
      </c>
    </row>
    <row r="7" spans="1:8" x14ac:dyDescent="0.2">
      <c r="A7" s="3">
        <v>6</v>
      </c>
      <c r="B7" s="3" t="s">
        <v>21</v>
      </c>
      <c r="C7" s="3" t="s">
        <v>17</v>
      </c>
      <c r="D7" s="7">
        <v>67899789</v>
      </c>
      <c r="E7" s="7">
        <v>678698779</v>
      </c>
      <c r="F7" s="3" t="s">
        <v>42</v>
      </c>
      <c r="G7" s="3" t="s">
        <v>15</v>
      </c>
      <c r="H7" s="3" t="s">
        <v>19</v>
      </c>
    </row>
    <row r="8" spans="1:8" x14ac:dyDescent="0.2">
      <c r="A8" s="3">
        <v>7</v>
      </c>
      <c r="B8" s="3" t="s">
        <v>25</v>
      </c>
      <c r="C8" s="3" t="s">
        <v>43</v>
      </c>
      <c r="D8" s="7">
        <v>673863776873</v>
      </c>
      <c r="E8" s="7">
        <v>6783783768</v>
      </c>
      <c r="F8" s="3" t="s">
        <v>41</v>
      </c>
      <c r="G8" s="3" t="s">
        <v>11</v>
      </c>
      <c r="H8" s="3" t="s">
        <v>12</v>
      </c>
    </row>
    <row r="9" spans="1:8" x14ac:dyDescent="0.2">
      <c r="A9" s="3">
        <v>8</v>
      </c>
      <c r="B9" s="3" t="s">
        <v>23</v>
      </c>
      <c r="C9" s="3" t="s">
        <v>44</v>
      </c>
      <c r="D9" s="7">
        <v>6738837635</v>
      </c>
      <c r="E9" s="7">
        <v>63785365763</v>
      </c>
      <c r="F9" s="3" t="s">
        <v>45</v>
      </c>
      <c r="G9" s="3" t="s">
        <v>11</v>
      </c>
      <c r="H9" s="3" t="s">
        <v>12</v>
      </c>
    </row>
    <row r="10" spans="1:8" x14ac:dyDescent="0.2">
      <c r="A10" s="3">
        <v>9</v>
      </c>
      <c r="B10" s="3" t="s">
        <v>35</v>
      </c>
      <c r="C10" s="3" t="s">
        <v>46</v>
      </c>
      <c r="D10" s="3">
        <v>567537</v>
      </c>
      <c r="E10" s="3">
        <v>367576</v>
      </c>
      <c r="F10" s="3" t="s">
        <v>47</v>
      </c>
      <c r="G10" s="3" t="s">
        <v>11</v>
      </c>
      <c r="H10" s="3" t="s">
        <v>19</v>
      </c>
    </row>
    <row r="11" spans="1:8" x14ac:dyDescent="0.2">
      <c r="A11" s="3">
        <v>10</v>
      </c>
      <c r="B11" s="3" t="s">
        <v>36</v>
      </c>
      <c r="C11" s="3" t="s">
        <v>48</v>
      </c>
      <c r="D11" s="3">
        <v>687326492</v>
      </c>
      <c r="E11" s="3">
        <v>436287623</v>
      </c>
      <c r="F11" s="3" t="s">
        <v>49</v>
      </c>
      <c r="G11" s="3" t="s">
        <v>11</v>
      </c>
      <c r="H11" s="3" t="s">
        <v>12</v>
      </c>
    </row>
    <row r="12" spans="1:8" x14ac:dyDescent="0.2">
      <c r="A12" s="3">
        <v>11</v>
      </c>
      <c r="B12" s="3" t="s">
        <v>37</v>
      </c>
      <c r="C12" s="3" t="s">
        <v>50</v>
      </c>
      <c r="D12" s="3">
        <v>7648643863</v>
      </c>
      <c r="E12" s="3">
        <v>673287528</v>
      </c>
      <c r="F12" s="3" t="s">
        <v>51</v>
      </c>
      <c r="G12" s="3" t="s">
        <v>11</v>
      </c>
      <c r="H12" s="3" t="s">
        <v>12</v>
      </c>
    </row>
    <row r="13" spans="1:8" x14ac:dyDescent="0.2">
      <c r="A13" s="3">
        <v>12</v>
      </c>
      <c r="B13" s="3" t="s">
        <v>54</v>
      </c>
      <c r="C13" s="3" t="s">
        <v>55</v>
      </c>
      <c r="D13" s="3">
        <v>7563873236</v>
      </c>
      <c r="E13" s="3">
        <v>6536537635</v>
      </c>
      <c r="F13" s="3" t="s">
        <v>10</v>
      </c>
      <c r="G13" s="3" t="s">
        <v>11</v>
      </c>
      <c r="H13" s="3" t="s">
        <v>12</v>
      </c>
    </row>
    <row r="14" spans="1:8" x14ac:dyDescent="0.2">
      <c r="A14" s="3">
        <v>13</v>
      </c>
      <c r="B14" s="3" t="s">
        <v>56</v>
      </c>
      <c r="C14" s="3" t="s">
        <v>57</v>
      </c>
      <c r="D14" s="3">
        <v>8476983643</v>
      </c>
      <c r="E14" s="3">
        <v>846387347</v>
      </c>
      <c r="F14" s="3" t="s">
        <v>58</v>
      </c>
      <c r="G14" s="3" t="s">
        <v>11</v>
      </c>
      <c r="H14" s="3" t="s">
        <v>12</v>
      </c>
    </row>
    <row r="15" spans="1:8" x14ac:dyDescent="0.2">
      <c r="A15" s="3"/>
      <c r="B15" s="3"/>
      <c r="C15" s="3"/>
      <c r="D15" s="3"/>
      <c r="E15" s="3"/>
      <c r="F15" s="3"/>
      <c r="G15" s="3"/>
      <c r="H15" s="3"/>
    </row>
  </sheetData>
  <autoFilter ref="A1:H9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"/>
  <sheetViews>
    <sheetView workbookViewId="0">
      <selection activeCell="D18" sqref="D18"/>
    </sheetView>
  </sheetViews>
  <sheetFormatPr defaultRowHeight="14.25" x14ac:dyDescent="0.2"/>
  <cols>
    <col min="3" max="7" width="12.125" customWidth="1"/>
    <col min="8" max="8" width="13.875" customWidth="1"/>
  </cols>
  <sheetData>
    <row r="1" spans="1:8" ht="33" customHeight="1" x14ac:dyDescent="0.2">
      <c r="A1" s="2" t="s">
        <v>7</v>
      </c>
      <c r="B1" s="2" t="s">
        <v>0</v>
      </c>
      <c r="C1" s="2" t="s">
        <v>1</v>
      </c>
      <c r="D1" s="2" t="s">
        <v>28</v>
      </c>
      <c r="E1" s="2" t="s">
        <v>29</v>
      </c>
      <c r="F1" s="2" t="s">
        <v>30</v>
      </c>
      <c r="G1" s="2" t="s">
        <v>32</v>
      </c>
      <c r="H1" s="2" t="s">
        <v>31</v>
      </c>
    </row>
    <row r="2" spans="1:8" x14ac:dyDescent="0.2">
      <c r="A2" s="3">
        <v>1</v>
      </c>
      <c r="B2" s="3" t="s">
        <v>8</v>
      </c>
      <c r="C2" s="3" t="s">
        <v>9</v>
      </c>
      <c r="D2" s="3" t="s">
        <v>12</v>
      </c>
      <c r="E2" s="5">
        <v>48000000</v>
      </c>
      <c r="F2" s="5">
        <v>250000</v>
      </c>
      <c r="G2" s="6">
        <v>2001</v>
      </c>
      <c r="H2" s="6">
        <f>2023-G2</f>
        <v>22</v>
      </c>
    </row>
    <row r="3" spans="1:8" x14ac:dyDescent="0.2">
      <c r="A3" s="3">
        <v>3</v>
      </c>
      <c r="B3" s="3" t="s">
        <v>13</v>
      </c>
      <c r="C3" s="3" t="s">
        <v>14</v>
      </c>
      <c r="D3" s="3" t="s">
        <v>12</v>
      </c>
      <c r="E3" s="5">
        <v>48000000</v>
      </c>
      <c r="F3" s="5">
        <v>250000</v>
      </c>
      <c r="G3" s="6">
        <v>2002</v>
      </c>
      <c r="H3" s="6">
        <f t="shared" ref="H3:H8" si="0">2023-G3</f>
        <v>21</v>
      </c>
    </row>
    <row r="4" spans="1:8" x14ac:dyDescent="0.2">
      <c r="A4" s="3">
        <v>4</v>
      </c>
      <c r="B4" s="3" t="s">
        <v>16</v>
      </c>
      <c r="C4" s="3" t="s">
        <v>17</v>
      </c>
      <c r="D4" s="3" t="s">
        <v>19</v>
      </c>
      <c r="E4" s="5">
        <v>48000000</v>
      </c>
      <c r="F4" s="5">
        <v>250000</v>
      </c>
      <c r="G4" s="6">
        <v>2003</v>
      </c>
      <c r="H4" s="6">
        <f t="shared" si="0"/>
        <v>20</v>
      </c>
    </row>
    <row r="5" spans="1:8" x14ac:dyDescent="0.2">
      <c r="A5" s="3">
        <v>6</v>
      </c>
      <c r="B5" s="3" t="s">
        <v>21</v>
      </c>
      <c r="C5" s="3" t="s">
        <v>22</v>
      </c>
      <c r="D5" s="3" t="s">
        <v>12</v>
      </c>
      <c r="E5" s="5">
        <v>48000000</v>
      </c>
      <c r="F5" s="5">
        <v>250000</v>
      </c>
      <c r="G5" s="6">
        <v>2004</v>
      </c>
      <c r="H5" s="6">
        <f t="shared" si="0"/>
        <v>19</v>
      </c>
    </row>
    <row r="6" spans="1:8" x14ac:dyDescent="0.2">
      <c r="A6" s="3">
        <v>7</v>
      </c>
      <c r="B6" s="3" t="s">
        <v>25</v>
      </c>
      <c r="C6" s="3" t="s">
        <v>17</v>
      </c>
      <c r="D6" s="3" t="s">
        <v>12</v>
      </c>
      <c r="E6" s="5">
        <v>48000000</v>
      </c>
      <c r="F6" s="5">
        <v>250000</v>
      </c>
      <c r="G6" s="6">
        <v>2005</v>
      </c>
      <c r="H6" s="6">
        <f t="shared" si="0"/>
        <v>18</v>
      </c>
    </row>
    <row r="7" spans="1:8" x14ac:dyDescent="0.2">
      <c r="A7" s="3">
        <v>8</v>
      </c>
      <c r="B7" s="3" t="s">
        <v>23</v>
      </c>
      <c r="C7" s="3" t="s">
        <v>24</v>
      </c>
      <c r="D7" s="3" t="s">
        <v>12</v>
      </c>
      <c r="E7" s="5">
        <v>48000000</v>
      </c>
      <c r="F7" s="5">
        <v>250000</v>
      </c>
      <c r="G7" s="6">
        <v>2006</v>
      </c>
      <c r="H7" s="6">
        <f t="shared" si="0"/>
        <v>17</v>
      </c>
    </row>
    <row r="8" spans="1:8" x14ac:dyDescent="0.2">
      <c r="A8" s="3">
        <v>7</v>
      </c>
      <c r="B8" s="3" t="s">
        <v>26</v>
      </c>
      <c r="C8" s="3" t="s">
        <v>27</v>
      </c>
      <c r="D8" s="3" t="s">
        <v>12</v>
      </c>
      <c r="E8" s="5">
        <v>48000000</v>
      </c>
      <c r="F8" s="5">
        <v>250000</v>
      </c>
      <c r="G8" s="6">
        <v>2007</v>
      </c>
      <c r="H8" s="6">
        <f t="shared" si="0"/>
        <v>16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8"/>
  <sheetViews>
    <sheetView workbookViewId="0">
      <selection activeCell="E13" sqref="E13"/>
    </sheetView>
  </sheetViews>
  <sheetFormatPr defaultRowHeight="14.25" x14ac:dyDescent="0.2"/>
  <cols>
    <col min="3" max="4" width="18.25" customWidth="1"/>
  </cols>
  <sheetData>
    <row r="1" spans="1:4" ht="15.75" x14ac:dyDescent="0.2">
      <c r="A1" s="2" t="s">
        <v>7</v>
      </c>
      <c r="B1" s="2" t="s">
        <v>0</v>
      </c>
      <c r="C1" s="2" t="s">
        <v>1</v>
      </c>
      <c r="D1" s="2" t="s">
        <v>28</v>
      </c>
    </row>
    <row r="2" spans="1:4" x14ac:dyDescent="0.2">
      <c r="A2" s="3">
        <v>1</v>
      </c>
      <c r="B2" s="3" t="s">
        <v>8</v>
      </c>
      <c r="C2" s="3" t="s">
        <v>9</v>
      </c>
      <c r="D2" s="3" t="s">
        <v>12</v>
      </c>
    </row>
    <row r="3" spans="1:4" x14ac:dyDescent="0.2">
      <c r="A3" s="3">
        <v>3</v>
      </c>
      <c r="B3" s="3" t="s">
        <v>13</v>
      </c>
      <c r="C3" s="3" t="s">
        <v>14</v>
      </c>
      <c r="D3" s="3" t="s">
        <v>12</v>
      </c>
    </row>
    <row r="4" spans="1:4" x14ac:dyDescent="0.2">
      <c r="A4" s="3">
        <v>4</v>
      </c>
      <c r="B4" s="3" t="s">
        <v>16</v>
      </c>
      <c r="C4" s="3" t="s">
        <v>17</v>
      </c>
      <c r="D4" s="3" t="s">
        <v>19</v>
      </c>
    </row>
    <row r="5" spans="1:4" x14ac:dyDescent="0.2">
      <c r="A5" s="3">
        <v>6</v>
      </c>
      <c r="B5" s="3" t="s">
        <v>21</v>
      </c>
      <c r="C5" s="3" t="s">
        <v>22</v>
      </c>
      <c r="D5" s="3" t="s">
        <v>12</v>
      </c>
    </row>
    <row r="6" spans="1:4" x14ac:dyDescent="0.2">
      <c r="A6" s="3">
        <v>7</v>
      </c>
      <c r="B6" s="3" t="s">
        <v>25</v>
      </c>
      <c r="C6" s="3" t="s">
        <v>17</v>
      </c>
      <c r="D6" s="3" t="s">
        <v>12</v>
      </c>
    </row>
    <row r="7" spans="1:4" x14ac:dyDescent="0.2">
      <c r="A7" s="3">
        <v>8</v>
      </c>
      <c r="B7" s="3" t="s">
        <v>23</v>
      </c>
      <c r="C7" s="3" t="s">
        <v>24</v>
      </c>
      <c r="D7" s="3" t="s">
        <v>12</v>
      </c>
    </row>
    <row r="8" spans="1:4" x14ac:dyDescent="0.2">
      <c r="A8" s="3">
        <v>7</v>
      </c>
      <c r="B8" s="3" t="s">
        <v>26</v>
      </c>
      <c r="C8" s="3" t="s">
        <v>27</v>
      </c>
      <c r="D8" s="3" t="s">
        <v>12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dasboard</vt:lpstr>
      <vt:lpstr>datainput</vt:lpstr>
      <vt:lpstr>gaji_karyawan</vt:lpstr>
      <vt:lpstr>karyawan_kontrak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2023-04-15T18:11:07Z</dcterms:created>
  <dcterms:modified xsi:type="dcterms:W3CDTF">2023-04-23T04:01:54Z</dcterms:modified>
</cp:coreProperties>
</file>